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adimejiadejumo\Desktop\"/>
    </mc:Choice>
  </mc:AlternateContent>
  <xr:revisionPtr revIDLastSave="0" documentId="8_{21179C69-0A23-4CB7-94EF-37B03DC49067}" xr6:coauthVersionLast="47" xr6:coauthVersionMax="47" xr10:uidLastSave="{00000000-0000-0000-0000-000000000000}"/>
  <bookViews>
    <workbookView xWindow="-120" yWindow="-120" windowWidth="20730" windowHeight="11040" activeTab="1" xr2:uid="{65815740-32E9-4FF4-B278-69ADE34E53E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9" i="2" l="1"/>
  <c r="E18" i="2"/>
  <c r="E17" i="2"/>
  <c r="E16" i="2"/>
  <c r="E15" i="2"/>
  <c r="E21" i="2" s="1"/>
  <c r="D19" i="2"/>
  <c r="D18" i="2"/>
  <c r="D17" i="2"/>
  <c r="D16" i="2"/>
  <c r="D15" i="2"/>
  <c r="C19" i="2"/>
  <c r="C18" i="2"/>
  <c r="C17" i="2"/>
  <c r="C16" i="2"/>
  <c r="C15" i="2"/>
  <c r="F6" i="2"/>
  <c r="F7" i="2"/>
  <c r="F8" i="2"/>
  <c r="F9" i="2"/>
  <c r="F10" i="2"/>
  <c r="M19" i="2"/>
  <c r="N19" i="2"/>
  <c r="N18" i="2"/>
  <c r="N17" i="2"/>
  <c r="N16" i="2"/>
  <c r="N15" i="2"/>
  <c r="M18" i="2"/>
  <c r="M17" i="2"/>
  <c r="M16" i="2"/>
  <c r="M15" i="2"/>
  <c r="N9" i="2"/>
  <c r="N8" i="2"/>
  <c r="N7" i="2"/>
  <c r="N6" i="2"/>
  <c r="N5" i="2"/>
  <c r="J11" i="2"/>
  <c r="J10" i="2"/>
  <c r="J9" i="2"/>
  <c r="J8" i="2"/>
  <c r="J7" i="2"/>
  <c r="J6" i="2"/>
  <c r="I11" i="2"/>
  <c r="I10" i="2"/>
  <c r="I9" i="2"/>
  <c r="I8" i="2"/>
  <c r="I7" i="2"/>
  <c r="I6" i="2"/>
  <c r="E10" i="2"/>
  <c r="E9" i="2"/>
  <c r="E8" i="2"/>
  <c r="E7" i="2"/>
  <c r="E6" i="2"/>
  <c r="D10" i="2"/>
  <c r="D9" i="2"/>
  <c r="D8" i="2"/>
  <c r="D7" i="2"/>
  <c r="D6" i="2"/>
  <c r="C10" i="2"/>
  <c r="C9" i="2"/>
  <c r="C8" i="2"/>
  <c r="C7" i="2"/>
  <c r="C6" i="2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5" i="1"/>
  <c r="D21" i="2" l="1"/>
  <c r="C21" i="2"/>
  <c r="E20" i="2"/>
  <c r="D20" i="2"/>
  <c r="C20" i="2"/>
  <c r="N10" i="2"/>
  <c r="N20" i="2"/>
  <c r="M20" i="2"/>
</calcChain>
</file>

<file path=xl/sharedStrings.xml><?xml version="1.0" encoding="utf-8"?>
<sst xmlns="http://schemas.openxmlformats.org/spreadsheetml/2006/main" count="72" uniqueCount="32">
  <si>
    <t>Sales Rep</t>
  </si>
  <si>
    <t>Ahmed</t>
  </si>
  <si>
    <t>Bisi</t>
  </si>
  <si>
    <t>Chinedu</t>
  </si>
  <si>
    <t>David</t>
  </si>
  <si>
    <t>Esther</t>
  </si>
  <si>
    <t>SUM</t>
  </si>
  <si>
    <t>MINIMUM</t>
  </si>
  <si>
    <t>MAXIMUM</t>
  </si>
  <si>
    <t>AVERAGE</t>
  </si>
  <si>
    <t>COUNT</t>
  </si>
  <si>
    <t>COUNTA</t>
  </si>
  <si>
    <t>Amount</t>
  </si>
  <si>
    <t>Date</t>
  </si>
  <si>
    <t>Year</t>
  </si>
  <si>
    <t>Quantity Sold</t>
  </si>
  <si>
    <t>Amount (₦)</t>
  </si>
  <si>
    <t>S/NO.</t>
  </si>
  <si>
    <t>YEARLY SALES REPORT</t>
  </si>
  <si>
    <t>Sum Of Sales by Years</t>
  </si>
  <si>
    <t>FUNCTIONS</t>
  </si>
  <si>
    <t>Quantity sold</t>
  </si>
  <si>
    <t>Condition</t>
  </si>
  <si>
    <t>Quantity</t>
  </si>
  <si>
    <t>COUNTIF</t>
  </si>
  <si>
    <t>Total</t>
  </si>
  <si>
    <t>SUMIF</t>
  </si>
  <si>
    <t>Tracts Per Rep</t>
  </si>
  <si>
    <t>Rev Per Rep</t>
  </si>
  <si>
    <t>Total Sales Per Rep</t>
  </si>
  <si>
    <t>Quantity Sold per Year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</si>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</sst>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8">
    <xf numFmtId="0" fontId="0" fillId="0" borderId="0" xfId="0"/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1" xfId="0" applyBorder="1"/>
    <xf numFmtId="3" fontId="0" fillId="0" borderId="1" xfId="0" applyNumberFormat="1" applyBorder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1" fillId="2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9" borderId="1" xfId="0" applyFont="1" applyFill="1" applyBorder="1"/>
    <xf numFmtId="0" fontId="0" fillId="0" borderId="2" xfId="0" applyBorder="1"/>
    <xf numFmtId="15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0" fontId="1" fillId="2" borderId="14" xfId="0" applyFont="1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164" fontId="0" fillId="0" borderId="1" xfId="1" applyNumberFormat="1" applyFont="1" applyBorder="1"/>
    <xf numFmtId="164" fontId="1" fillId="9" borderId="1" xfId="1" applyNumberFormat="1" applyFont="1" applyFill="1" applyBorder="1"/>
    <xf numFmtId="0" fontId="1" fillId="3" borderId="1" xfId="0" applyFont="1" applyFill="1" applyBorder="1"/>
    <xf numFmtId="3" fontId="1" fillId="0" borderId="1" xfId="0" applyNumberFormat="1" applyFont="1" applyBorder="1"/>
    <xf numFmtId="0" fontId="1" fillId="5" borderId="2" xfId="0" applyFont="1" applyFill="1" applyBorder="1"/>
    <xf numFmtId="0" fontId="1" fillId="6" borderId="2" xfId="0" applyFont="1" applyFill="1" applyBorder="1"/>
    <xf numFmtId="0" fontId="1" fillId="4" borderId="9" xfId="0" applyFont="1" applyFill="1" applyBorder="1"/>
    <xf numFmtId="3" fontId="0" fillId="0" borderId="6" xfId="0" applyNumberFormat="1" applyBorder="1"/>
    <xf numFmtId="0" fontId="1" fillId="2" borderId="18" xfId="0" applyFont="1" applyFill="1" applyBorder="1"/>
    <xf numFmtId="0" fontId="0" fillId="0" borderId="19" xfId="0" applyBorder="1" applyAlignment="1">
      <alignment vertical="center" wrapText="1"/>
    </xf>
    <xf numFmtId="0" fontId="0" fillId="3" borderId="19" xfId="0" applyFill="1" applyBorder="1" applyAlignment="1">
      <alignment vertical="center" wrapText="1"/>
    </xf>
    <xf numFmtId="0" fontId="0" fillId="10" borderId="20" xfId="0" applyFill="1" applyBorder="1" applyAlignment="1">
      <alignment vertical="center" wrapText="1"/>
    </xf>
    <xf numFmtId="3" fontId="0" fillId="3" borderId="6" xfId="0" applyNumberFormat="1" applyFill="1" applyBorder="1"/>
    <xf numFmtId="3" fontId="0" fillId="10" borderId="6" xfId="0" applyNumberFormat="1" applyFill="1" applyBorder="1"/>
    <xf numFmtId="0" fontId="1" fillId="2" borderId="1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2A2A-20F9-4AA8-A350-DE104AB56D41}">
  <dimension ref="A1:F27"/>
  <sheetViews>
    <sheetView topLeftCell="A6" workbookViewId="0">
      <selection activeCell="E4" sqref="E4"/>
    </sheetView>
  </sheetViews>
  <sheetFormatPr defaultRowHeight="15" x14ac:dyDescent="0.25"/>
  <cols>
    <col min="2" max="2" width="12.42578125" customWidth="1"/>
    <col min="3" max="4" width="14.42578125" customWidth="1"/>
    <col min="5" max="5" width="14.5703125" customWidth="1"/>
    <col min="6" max="6" width="11.85546875" customWidth="1"/>
    <col min="8" max="8" width="20.140625" customWidth="1"/>
  </cols>
  <sheetData>
    <row r="1" spans="1:6" ht="15.75" thickBot="1" x14ac:dyDescent="0.3">
      <c r="B1" s="5"/>
      <c r="C1" s="5"/>
      <c r="D1" s="5"/>
      <c r="E1" s="6"/>
    </row>
    <row r="2" spans="1:6" ht="25.5" customHeight="1" thickBot="1" x14ac:dyDescent="0.3">
      <c r="B2" s="45" t="s">
        <v>18</v>
      </c>
      <c r="C2" s="46"/>
      <c r="D2" s="46"/>
      <c r="E2" s="47"/>
    </row>
    <row r="3" spans="1:6" ht="15.75" thickBot="1" x14ac:dyDescent="0.3">
      <c r="A3" s="18" t="s">
        <v>17</v>
      </c>
      <c r="B3" s="19" t="s">
        <v>13</v>
      </c>
      <c r="C3" s="19" t="s">
        <v>14</v>
      </c>
      <c r="D3" s="19" t="s">
        <v>0</v>
      </c>
      <c r="E3" s="19" t="s">
        <v>15</v>
      </c>
      <c r="F3" s="20" t="s">
        <v>16</v>
      </c>
    </row>
    <row r="4" spans="1:6" x14ac:dyDescent="0.25">
      <c r="A4" s="14">
        <v>1</v>
      </c>
      <c r="B4" s="15">
        <v>40193</v>
      </c>
      <c r="C4" s="16">
        <v>2010</v>
      </c>
      <c r="D4" s="16" t="s">
        <v>1</v>
      </c>
      <c r="E4" s="16">
        <v>120</v>
      </c>
      <c r="F4" s="17">
        <v>12000</v>
      </c>
    </row>
    <row r="5" spans="1:6" x14ac:dyDescent="0.25">
      <c r="A5" s="3">
        <f>1+A4</f>
        <v>2</v>
      </c>
      <c r="B5" s="7">
        <v>40231</v>
      </c>
      <c r="C5" s="1">
        <v>2010</v>
      </c>
      <c r="D5" s="1" t="s">
        <v>2</v>
      </c>
      <c r="E5" s="1">
        <v>95</v>
      </c>
      <c r="F5" s="2">
        <v>9500</v>
      </c>
    </row>
    <row r="6" spans="1:6" x14ac:dyDescent="0.25">
      <c r="A6" s="3">
        <f t="shared" ref="A6:A23" si="0">1+A5</f>
        <v>3</v>
      </c>
      <c r="B6" s="7">
        <v>40247</v>
      </c>
      <c r="C6" s="1">
        <v>2010</v>
      </c>
      <c r="D6" s="1" t="s">
        <v>3</v>
      </c>
      <c r="E6" s="1">
        <v>140</v>
      </c>
      <c r="F6" s="2">
        <v>15400</v>
      </c>
    </row>
    <row r="7" spans="1:6" x14ac:dyDescent="0.25">
      <c r="A7" s="3">
        <f t="shared" si="0"/>
        <v>4</v>
      </c>
      <c r="B7" s="7">
        <v>40286</v>
      </c>
      <c r="C7" s="1">
        <v>2010</v>
      </c>
      <c r="D7" s="1" t="s">
        <v>4</v>
      </c>
      <c r="E7" s="1">
        <v>80</v>
      </c>
      <c r="F7" s="2">
        <v>7200</v>
      </c>
    </row>
    <row r="8" spans="1:6" x14ac:dyDescent="0.25">
      <c r="A8" s="3">
        <f t="shared" si="0"/>
        <v>5</v>
      </c>
      <c r="B8" s="7">
        <v>40323</v>
      </c>
      <c r="C8" s="1">
        <v>2010</v>
      </c>
      <c r="D8" s="1" t="s">
        <v>5</v>
      </c>
      <c r="E8" s="1">
        <v>110</v>
      </c>
      <c r="F8" s="2">
        <v>11000</v>
      </c>
    </row>
    <row r="9" spans="1:6" x14ac:dyDescent="0.25">
      <c r="A9" s="3">
        <f t="shared" si="0"/>
        <v>6</v>
      </c>
      <c r="B9" s="7">
        <v>40325</v>
      </c>
      <c r="C9" s="1">
        <v>2010</v>
      </c>
      <c r="D9" s="1" t="s">
        <v>2</v>
      </c>
      <c r="E9" s="1">
        <v>100</v>
      </c>
      <c r="F9" s="2">
        <v>14500</v>
      </c>
    </row>
    <row r="10" spans="1:6" x14ac:dyDescent="0.25">
      <c r="A10" s="3">
        <f t="shared" si="0"/>
        <v>7</v>
      </c>
      <c r="B10" s="7">
        <v>40706</v>
      </c>
      <c r="C10" s="1">
        <v>2011</v>
      </c>
      <c r="D10" s="1" t="s">
        <v>1</v>
      </c>
      <c r="E10" s="1">
        <v>130</v>
      </c>
      <c r="F10" s="2">
        <v>13650</v>
      </c>
    </row>
    <row r="11" spans="1:6" x14ac:dyDescent="0.25">
      <c r="A11" s="3">
        <f t="shared" si="0"/>
        <v>8</v>
      </c>
      <c r="B11" s="7">
        <v>40707</v>
      </c>
      <c r="C11" s="1">
        <v>2011</v>
      </c>
      <c r="D11" s="1" t="s">
        <v>3</v>
      </c>
      <c r="E11" s="1">
        <v>55</v>
      </c>
      <c r="F11" s="2">
        <v>12000</v>
      </c>
    </row>
    <row r="12" spans="1:6" x14ac:dyDescent="0.25">
      <c r="A12" s="3">
        <f t="shared" si="0"/>
        <v>9</v>
      </c>
      <c r="B12" s="7">
        <v>40743</v>
      </c>
      <c r="C12" s="1">
        <v>2011</v>
      </c>
      <c r="D12" s="1" t="s">
        <v>2</v>
      </c>
      <c r="E12" s="1">
        <v>100</v>
      </c>
      <c r="F12" s="2">
        <v>10300</v>
      </c>
    </row>
    <row r="13" spans="1:6" x14ac:dyDescent="0.25">
      <c r="A13" s="3">
        <f t="shared" si="0"/>
        <v>10</v>
      </c>
      <c r="B13" s="7">
        <v>40763</v>
      </c>
      <c r="C13" s="1">
        <v>2011</v>
      </c>
      <c r="D13" s="1" t="s">
        <v>3</v>
      </c>
      <c r="E13" s="1">
        <v>150</v>
      </c>
      <c r="F13" s="2">
        <v>16800</v>
      </c>
    </row>
    <row r="14" spans="1:6" x14ac:dyDescent="0.25">
      <c r="A14" s="3">
        <f t="shared" si="0"/>
        <v>11</v>
      </c>
      <c r="B14" s="7">
        <v>40800</v>
      </c>
      <c r="C14" s="1">
        <v>2011</v>
      </c>
      <c r="D14" s="1" t="s">
        <v>4</v>
      </c>
      <c r="E14" s="1">
        <v>90</v>
      </c>
      <c r="F14" s="2">
        <v>8100</v>
      </c>
    </row>
    <row r="15" spans="1:6" x14ac:dyDescent="0.25">
      <c r="A15" s="3">
        <f t="shared" si="0"/>
        <v>12</v>
      </c>
      <c r="B15" s="7">
        <v>40801</v>
      </c>
      <c r="C15" s="1">
        <v>2011</v>
      </c>
      <c r="D15" s="1" t="s">
        <v>1</v>
      </c>
      <c r="E15" s="1">
        <v>88</v>
      </c>
      <c r="F15" s="2">
        <v>10000</v>
      </c>
    </row>
    <row r="16" spans="1:6" x14ac:dyDescent="0.25">
      <c r="A16" s="3">
        <f t="shared" si="0"/>
        <v>13</v>
      </c>
      <c r="B16" s="7">
        <v>40846</v>
      </c>
      <c r="C16" s="1">
        <v>2011</v>
      </c>
      <c r="D16" s="1" t="s">
        <v>5</v>
      </c>
      <c r="E16" s="1">
        <v>118</v>
      </c>
      <c r="F16" s="2">
        <v>12390</v>
      </c>
    </row>
    <row r="17" spans="1:6" x14ac:dyDescent="0.25">
      <c r="A17" s="3">
        <f t="shared" si="0"/>
        <v>14</v>
      </c>
      <c r="B17" s="7">
        <v>40919</v>
      </c>
      <c r="C17" s="1">
        <v>2012</v>
      </c>
      <c r="D17" s="1" t="s">
        <v>1</v>
      </c>
      <c r="E17" s="1">
        <v>138</v>
      </c>
      <c r="F17" s="2">
        <v>14490</v>
      </c>
    </row>
    <row r="18" spans="1:6" x14ac:dyDescent="0.25">
      <c r="A18" s="3">
        <f t="shared" si="0"/>
        <v>15</v>
      </c>
      <c r="B18" s="7">
        <v>40956</v>
      </c>
      <c r="C18" s="1">
        <v>2012</v>
      </c>
      <c r="D18" s="1" t="s">
        <v>2</v>
      </c>
      <c r="E18" s="1">
        <v>105</v>
      </c>
      <c r="F18" s="2">
        <v>10920</v>
      </c>
    </row>
    <row r="19" spans="1:6" x14ac:dyDescent="0.25">
      <c r="A19" s="3">
        <f t="shared" si="0"/>
        <v>16</v>
      </c>
      <c r="B19" s="7">
        <v>40957</v>
      </c>
      <c r="C19" s="1">
        <v>2012</v>
      </c>
      <c r="D19" s="1" t="s">
        <v>5</v>
      </c>
      <c r="E19" s="1">
        <v>110</v>
      </c>
      <c r="F19" s="2">
        <v>15000</v>
      </c>
    </row>
    <row r="20" spans="1:6" x14ac:dyDescent="0.25">
      <c r="A20" s="3">
        <f t="shared" si="0"/>
        <v>17</v>
      </c>
      <c r="B20" s="7">
        <v>40977</v>
      </c>
      <c r="C20" s="1">
        <v>2012</v>
      </c>
      <c r="D20" s="1" t="s">
        <v>3</v>
      </c>
      <c r="E20" s="1">
        <v>160</v>
      </c>
      <c r="F20" s="2">
        <v>18240</v>
      </c>
    </row>
    <row r="21" spans="1:6" x14ac:dyDescent="0.25">
      <c r="A21" s="3">
        <f t="shared" si="0"/>
        <v>18</v>
      </c>
      <c r="B21" s="7">
        <v>41020</v>
      </c>
      <c r="C21" s="1">
        <v>2012</v>
      </c>
      <c r="D21" s="1" t="s">
        <v>4</v>
      </c>
      <c r="E21" s="1">
        <v>92</v>
      </c>
      <c r="F21" s="2">
        <v>8556</v>
      </c>
    </row>
    <row r="22" spans="1:6" x14ac:dyDescent="0.25">
      <c r="A22" s="3">
        <f t="shared" si="0"/>
        <v>19</v>
      </c>
      <c r="B22" s="7">
        <v>41057</v>
      </c>
      <c r="C22" s="1">
        <v>2012</v>
      </c>
      <c r="D22" s="1" t="s">
        <v>5</v>
      </c>
      <c r="E22" s="1">
        <v>125</v>
      </c>
      <c r="F22" s="2">
        <v>13750</v>
      </c>
    </row>
    <row r="23" spans="1:6" x14ac:dyDescent="0.25">
      <c r="A23" s="3">
        <f t="shared" si="0"/>
        <v>20</v>
      </c>
      <c r="B23" s="7">
        <v>41059</v>
      </c>
      <c r="C23" s="1">
        <v>2012</v>
      </c>
      <c r="D23" s="1" t="s">
        <v>4</v>
      </c>
      <c r="E23" s="1">
        <v>50</v>
      </c>
      <c r="F23" s="2">
        <v>13750</v>
      </c>
    </row>
    <row r="24" spans="1:6" x14ac:dyDescent="0.25">
      <c r="E24" s="5"/>
      <c r="F24" s="6"/>
    </row>
    <row r="25" spans="1:6" x14ac:dyDescent="0.25">
      <c r="E25" s="5"/>
      <c r="F25" s="6"/>
    </row>
    <row r="26" spans="1:6" x14ac:dyDescent="0.25">
      <c r="E26" s="5"/>
      <c r="F26" s="6"/>
    </row>
    <row r="27" spans="1:6" x14ac:dyDescent="0.25">
      <c r="E27" s="5"/>
      <c r="F27" s="6"/>
    </row>
  </sheetData>
  <mergeCells count="1">
    <mergeCell ref="B2:E2"/>
  </mergeCells>
  <conditionalFormatting sqref="F4:F23">
    <cfRule type="top10" dxfId="8" priority="1" bottom="1" rank="10"/>
    <cfRule type="top10" dxfId="7" priority="2" rank="10"/>
    <cfRule type="top10" dxfId="6" priority="3" bottom="1" rank="4"/>
    <cfRule type="top10" dxfId="5" priority="4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5CF7-F234-4770-BF88-58C006606CD7}">
  <dimension ref="B4:N21"/>
  <sheetViews>
    <sheetView tabSelected="1" topLeftCell="A4" workbookViewId="0">
      <selection activeCell="G18" sqref="G18"/>
    </sheetView>
  </sheetViews>
  <sheetFormatPr defaultRowHeight="15" x14ac:dyDescent="0.25"/>
  <cols>
    <col min="3" max="3" width="10.5703125" customWidth="1"/>
    <col min="4" max="4" width="11.28515625" customWidth="1"/>
    <col min="5" max="5" width="12.140625" customWidth="1"/>
    <col min="6" max="6" width="17.42578125" customWidth="1"/>
    <col min="8" max="8" width="11.5703125" customWidth="1"/>
    <col min="9" max="9" width="12.7109375" bestFit="1" customWidth="1"/>
    <col min="10" max="10" width="11.85546875" customWidth="1"/>
    <col min="12" max="12" width="11.5703125" customWidth="1"/>
    <col min="13" max="13" width="11" customWidth="1"/>
    <col min="14" max="14" width="14.85546875" customWidth="1"/>
    <col min="17" max="17" width="10.28515625" customWidth="1"/>
    <col min="19" max="19" width="10.7109375" customWidth="1"/>
  </cols>
  <sheetData>
    <row r="4" spans="2:14" x14ac:dyDescent="0.25">
      <c r="B4" s="3"/>
      <c r="C4" s="39" t="s">
        <v>19</v>
      </c>
      <c r="D4" s="40"/>
      <c r="E4" s="40"/>
      <c r="F4" s="41"/>
      <c r="H4" s="35" t="s">
        <v>20</v>
      </c>
      <c r="I4" s="35"/>
      <c r="J4" s="35"/>
      <c r="L4" s="36" t="s">
        <v>24</v>
      </c>
      <c r="M4" s="8" t="s">
        <v>22</v>
      </c>
      <c r="N4" s="8" t="s">
        <v>27</v>
      </c>
    </row>
    <row r="5" spans="2:14" x14ac:dyDescent="0.25">
      <c r="B5" s="8" t="s">
        <v>0</v>
      </c>
      <c r="C5" s="9">
        <v>2010</v>
      </c>
      <c r="D5" s="10">
        <v>2011</v>
      </c>
      <c r="E5" s="11">
        <v>2012</v>
      </c>
      <c r="F5" s="23" t="s">
        <v>29</v>
      </c>
      <c r="H5" s="3"/>
      <c r="I5" s="12" t="s">
        <v>21</v>
      </c>
      <c r="J5" s="12" t="s">
        <v>12</v>
      </c>
      <c r="L5" s="37"/>
      <c r="M5" s="1" t="s">
        <v>1</v>
      </c>
      <c r="N5" s="3">
        <f>COUNTIF(Sheet1!D4:E23,"Ahmed")</f>
        <v>4</v>
      </c>
    </row>
    <row r="6" spans="2:14" x14ac:dyDescent="0.25">
      <c r="B6" s="1" t="s">
        <v>1</v>
      </c>
      <c r="C6" s="4">
        <f>Sheet1!F4</f>
        <v>12000</v>
      </c>
      <c r="D6" s="4">
        <f>Sheet1!F10+Sheet1!F15</f>
        <v>23650</v>
      </c>
      <c r="E6" s="4">
        <f>Sheet1!F17</f>
        <v>14490</v>
      </c>
      <c r="F6" s="24">
        <f>SUM(C6:E6)</f>
        <v>50140</v>
      </c>
      <c r="H6" s="3" t="s">
        <v>6</v>
      </c>
      <c r="I6" s="3">
        <f>SUM(Sheet1!E4:E23)</f>
        <v>2156</v>
      </c>
      <c r="J6" s="4">
        <f>SUM(Sheet1!F4:F23)</f>
        <v>247546</v>
      </c>
      <c r="L6" s="37"/>
      <c r="M6" s="1" t="s">
        <v>2</v>
      </c>
      <c r="N6" s="3">
        <f>COUNTIF(Sheet1!D4:E23,"Bisi")</f>
        <v>4</v>
      </c>
    </row>
    <row r="7" spans="2:14" x14ac:dyDescent="0.25">
      <c r="B7" s="1" t="s">
        <v>2</v>
      </c>
      <c r="C7" s="4">
        <f>Sheet1!F5+Sheet1!F9</f>
        <v>24000</v>
      </c>
      <c r="D7" s="4">
        <f>Sheet1!F12</f>
        <v>10300</v>
      </c>
      <c r="E7" s="4">
        <f>Sheet1!F18</f>
        <v>10920</v>
      </c>
      <c r="F7" s="24">
        <f t="shared" ref="F7:F10" si="0">SUM(C7:E7)</f>
        <v>45220</v>
      </c>
      <c r="H7" s="3" t="s">
        <v>7</v>
      </c>
      <c r="I7" s="3">
        <f>MIN(Sheet1!E4:E23)</f>
        <v>50</v>
      </c>
      <c r="J7" s="4">
        <f>MIN(Sheet1!F4:F23)</f>
        <v>7200</v>
      </c>
      <c r="L7" s="37"/>
      <c r="M7" s="1" t="s">
        <v>3</v>
      </c>
      <c r="N7" s="3">
        <f>COUNTIF(Sheet1!D4:E23,"Chinedu")</f>
        <v>4</v>
      </c>
    </row>
    <row r="8" spans="2:14" x14ac:dyDescent="0.25">
      <c r="B8" s="1" t="s">
        <v>3</v>
      </c>
      <c r="C8" s="4">
        <f>Sheet1!F6</f>
        <v>15400</v>
      </c>
      <c r="D8" s="4">
        <f>Sheet1!F11+Sheet1!F13</f>
        <v>28800</v>
      </c>
      <c r="E8" s="4">
        <f>Sheet1!F20</f>
        <v>18240</v>
      </c>
      <c r="F8" s="24">
        <f t="shared" si="0"/>
        <v>62440</v>
      </c>
      <c r="H8" s="3" t="s">
        <v>8</v>
      </c>
      <c r="I8" s="3">
        <f>MAX(Sheet1!E4:E23)</f>
        <v>160</v>
      </c>
      <c r="J8" s="4">
        <f>MAX(Sheet1!F4:F23)</f>
        <v>18240</v>
      </c>
      <c r="L8" s="37"/>
      <c r="M8" s="1" t="s">
        <v>4</v>
      </c>
      <c r="N8" s="3">
        <f>COUNTIF(Sheet1!D4:E23,"David")</f>
        <v>4</v>
      </c>
    </row>
    <row r="9" spans="2:14" x14ac:dyDescent="0.25">
      <c r="B9" s="1" t="s">
        <v>4</v>
      </c>
      <c r="C9" s="4">
        <f>Sheet1!F7</f>
        <v>7200</v>
      </c>
      <c r="D9" s="4">
        <f>Sheet1!F14</f>
        <v>8100</v>
      </c>
      <c r="E9" s="4">
        <f>Sheet1!F21+Sheet1!F23</f>
        <v>22306</v>
      </c>
      <c r="F9" s="24">
        <f t="shared" si="0"/>
        <v>37606</v>
      </c>
      <c r="H9" s="3" t="s">
        <v>9</v>
      </c>
      <c r="I9" s="3">
        <f>AVERAGE(Sheet1!E4:E23)</f>
        <v>107.8</v>
      </c>
      <c r="J9" s="4">
        <f>AVERAGE(Sheet1!F4:F23)</f>
        <v>12377.3</v>
      </c>
      <c r="L9" s="37"/>
      <c r="M9" s="1" t="s">
        <v>5</v>
      </c>
      <c r="N9" s="3">
        <f>COUNTIF(Sheet1!D4:E23,"Esther")</f>
        <v>4</v>
      </c>
    </row>
    <row r="10" spans="2:14" x14ac:dyDescent="0.25">
      <c r="B10" s="1" t="s">
        <v>5</v>
      </c>
      <c r="C10" s="4">
        <f>Sheet1!F8</f>
        <v>11000</v>
      </c>
      <c r="D10" s="4">
        <f>Sheet1!F16</f>
        <v>12390</v>
      </c>
      <c r="E10" s="4">
        <f>Sheet1!F19+Sheet1!F22</f>
        <v>28750</v>
      </c>
      <c r="F10" s="24">
        <f t="shared" si="0"/>
        <v>52140</v>
      </c>
      <c r="H10" s="3" t="s">
        <v>10</v>
      </c>
      <c r="I10" s="3">
        <f>COUNT(Sheet1!E4:E23)</f>
        <v>20</v>
      </c>
      <c r="J10" s="3">
        <f>COUNT(Sheet1!F4:F23)</f>
        <v>20</v>
      </c>
      <c r="L10" s="38"/>
      <c r="M10" s="13" t="s">
        <v>25</v>
      </c>
      <c r="N10" s="13">
        <f>SUM(N5:N9)</f>
        <v>20</v>
      </c>
    </row>
    <row r="11" spans="2:14" x14ac:dyDescent="0.25">
      <c r="H11" s="3" t="s">
        <v>11</v>
      </c>
      <c r="I11" s="3">
        <f>COUNTA(Sheet1!E4:E23)</f>
        <v>20</v>
      </c>
      <c r="J11" s="3">
        <f>COUNTA(Sheet1!F4:F23)</f>
        <v>20</v>
      </c>
    </row>
    <row r="12" spans="2:14" ht="15.75" thickBot="1" x14ac:dyDescent="0.3"/>
    <row r="13" spans="2:14" ht="15.75" thickBot="1" x14ac:dyDescent="0.3">
      <c r="C13" s="42" t="s">
        <v>30</v>
      </c>
      <c r="D13" s="43"/>
      <c r="E13" s="44"/>
    </row>
    <row r="14" spans="2:14" x14ac:dyDescent="0.25">
      <c r="B14" s="29" t="s">
        <v>0</v>
      </c>
      <c r="C14" s="27">
        <v>2010</v>
      </c>
      <c r="D14" s="25">
        <v>2011</v>
      </c>
      <c r="E14" s="26">
        <v>2012</v>
      </c>
      <c r="K14" s="36" t="s">
        <v>26</v>
      </c>
      <c r="L14" s="8" t="s">
        <v>22</v>
      </c>
      <c r="M14" s="8" t="s">
        <v>23</v>
      </c>
      <c r="N14" s="8" t="s">
        <v>28</v>
      </c>
    </row>
    <row r="15" spans="2:14" x14ac:dyDescent="0.25">
      <c r="B15" s="30" t="s">
        <v>1</v>
      </c>
      <c r="C15" s="28">
        <f ca="1">SUMIF(Sheet1!D4:E9,"Ahmed",Sheet1!E4:E9)</f>
        <v>120</v>
      </c>
      <c r="D15" s="4">
        <f ca="1">SUMIF(Sheet1!D10:E16,"Ahmed",Sheet1!E10:E16)</f>
        <v>218</v>
      </c>
      <c r="E15" s="4">
        <f ca="1">SUMIF(Sheet1!D17:E23,"Ahmed",Sheet1!E17:E23)</f>
        <v>138</v>
      </c>
      <c r="K15" s="37"/>
      <c r="L15" s="1" t="s">
        <v>1</v>
      </c>
      <c r="M15" s="21">
        <f ca="1">SUMIF(Sheet1!D4:E23,"Ahmed",Sheet1!E4:E23)</f>
        <v>476</v>
      </c>
      <c r="N15" s="21">
        <f ca="1">SUMIF(Sheet1!D4:F23,"Ahmed",Sheet1!F4:F23)</f>
        <v>50140</v>
      </c>
    </row>
    <row r="16" spans="2:14" x14ac:dyDescent="0.25">
      <c r="B16" s="30" t="s">
        <v>2</v>
      </c>
      <c r="C16" s="28">
        <f ca="1">SUMIF(Sheet1!D5:E10,"Bisi",Sheet1!E5:E10)</f>
        <v>195</v>
      </c>
      <c r="D16" s="4">
        <f ca="1">SUMIF(Sheet1!D10:E16,"Bisi",Sheet1!E10:E16)</f>
        <v>100</v>
      </c>
      <c r="E16" s="4">
        <f ca="1">SUMIF(Sheet1!D17:E23,"Bisi",Sheet1!E17:E23)</f>
        <v>105</v>
      </c>
      <c r="K16" s="37"/>
      <c r="L16" s="1" t="s">
        <v>2</v>
      </c>
      <c r="M16" s="21">
        <f ca="1">SUMIF(Sheet1!D4:E23,"Bisi",Sheet1!E4:E23)</f>
        <v>400</v>
      </c>
      <c r="N16" s="21">
        <f ca="1">SUMIF(Sheet1!D4:F23,"Bisi",Sheet1!F4:F23)</f>
        <v>45220</v>
      </c>
    </row>
    <row r="17" spans="2:14" x14ac:dyDescent="0.25">
      <c r="B17" s="30" t="s">
        <v>3</v>
      </c>
      <c r="C17" s="28">
        <f ca="1">SUMIF(Sheet1!D4:E9,"Chinedu",Sheet1!E4:E9)</f>
        <v>140</v>
      </c>
      <c r="D17" s="4">
        <f ca="1">SUMIF(Sheet1!D10:E16,"Chinedu",Sheet1!E10:E16)</f>
        <v>205</v>
      </c>
      <c r="E17" s="4">
        <f ca="1">SUMIF(Sheet1!D17:E23,"Chinedu",Sheet1!E17:E23)</f>
        <v>160</v>
      </c>
      <c r="K17" s="37"/>
      <c r="L17" s="1" t="s">
        <v>3</v>
      </c>
      <c r="M17" s="21">
        <f ca="1">SUMIF(Sheet1!D4:E23,"Chinedu",Sheet1!E4:E23)</f>
        <v>505</v>
      </c>
      <c r="N17" s="21">
        <f ca="1">SUMIF(Sheet1!D4:F23,"Chinedu",Sheet1!F4:F23)</f>
        <v>62440</v>
      </c>
    </row>
    <row r="18" spans="2:14" x14ac:dyDescent="0.25">
      <c r="B18" s="30" t="s">
        <v>4</v>
      </c>
      <c r="C18" s="28">
        <f ca="1">SUMIF(Sheet1!D4:E9,"David",Sheet1!E4:E9)</f>
        <v>80</v>
      </c>
      <c r="D18" s="4">
        <f ca="1">SUMIF(Sheet1!D10:E16,"David",Sheet1!E10:E16)</f>
        <v>90</v>
      </c>
      <c r="E18" s="4">
        <f ca="1">SUMIF(Sheet1!D17:E23,"David",Sheet1!E17:E23)</f>
        <v>142</v>
      </c>
      <c r="K18" s="37"/>
      <c r="L18" s="1" t="s">
        <v>4</v>
      </c>
      <c r="M18" s="21">
        <f ca="1">SUMIF(Sheet1!D4:E23,"David",Sheet1!E4:E23)</f>
        <v>312</v>
      </c>
      <c r="N18" s="21">
        <f ca="1">SUMIF(Sheet1!D4:E23,"David",Sheet1!F4:F23)</f>
        <v>37606</v>
      </c>
    </row>
    <row r="19" spans="2:14" x14ac:dyDescent="0.25">
      <c r="B19" s="30" t="s">
        <v>5</v>
      </c>
      <c r="C19" s="28">
        <f ca="1">SUMIF(Sheet1!D4:E9,"Esther",Sheet1!E4:E9)</f>
        <v>110</v>
      </c>
      <c r="D19" s="4">
        <f ca="1">SUMIF(Sheet1!D10:E16,"Esther",Sheet1!E10:E16)</f>
        <v>118</v>
      </c>
      <c r="E19" s="4">
        <f ca="1">SUMIF(Sheet1!D17:E23,"Esther",Sheet1!E17:E23)</f>
        <v>235</v>
      </c>
      <c r="K19" s="37"/>
      <c r="L19" s="1" t="s">
        <v>5</v>
      </c>
      <c r="M19" s="21">
        <f ca="1">SUMIF(Sheet1!D4:E23,"Esther",Sheet1!E4:E23)</f>
        <v>463</v>
      </c>
      <c r="N19" s="21">
        <f ca="1">SUMIF(Sheet1!D4:F23,"Esther",Sheet1!F4:F23)</f>
        <v>52140</v>
      </c>
    </row>
    <row r="20" spans="2:14" x14ac:dyDescent="0.25">
      <c r="B20" s="31" t="s">
        <v>25</v>
      </c>
      <c r="C20" s="33">
        <f ca="1">SUM(C15:C19)</f>
        <v>645</v>
      </c>
      <c r="D20" s="33">
        <f t="shared" ref="D20:E20" ca="1" si="1">SUM(D15:D19)</f>
        <v>731</v>
      </c>
      <c r="E20" s="33">
        <f t="shared" ca="1" si="1"/>
        <v>780</v>
      </c>
      <c r="K20" s="38"/>
      <c r="L20" s="13" t="s">
        <v>25</v>
      </c>
      <c r="M20" s="22">
        <f ca="1">SUM(M15:M19)</f>
        <v>2156</v>
      </c>
      <c r="N20" s="22">
        <f ca="1">SUM(N15:N19)</f>
        <v>247546</v>
      </c>
    </row>
    <row r="21" spans="2:14" ht="15.75" thickBot="1" x14ac:dyDescent="0.3">
      <c r="B21" s="32" t="s">
        <v>31</v>
      </c>
      <c r="C21" s="34">
        <f ca="1">AVERAGE(C15:C19)</f>
        <v>129</v>
      </c>
      <c r="D21" s="34">
        <f t="shared" ref="D21:E21" ca="1" si="2">AVERAGE(D15:D19)</f>
        <v>146.19999999999999</v>
      </c>
      <c r="E21" s="34">
        <f t="shared" ca="1" si="2"/>
        <v>156</v>
      </c>
      <c r="L21" s="3"/>
      <c r="M21" s="3"/>
      <c r="N21" s="3"/>
    </row>
  </sheetData>
  <mergeCells count="5">
    <mergeCell ref="H4:J4"/>
    <mergeCell ref="L4:L10"/>
    <mergeCell ref="K14:K20"/>
    <mergeCell ref="C4:F4"/>
    <mergeCell ref="C13:E13"/>
  </mergeCells>
  <conditionalFormatting sqref="N15:N16">
    <cfRule type="top10" dxfId="4" priority="2" rank="1"/>
    <cfRule type="top10" dxfId="3" priority="3" rank="10"/>
  </conditionalFormatting>
  <conditionalFormatting sqref="N15:N19">
    <cfRule type="top10" dxfId="2" priority="1" bottom="1" rank="2"/>
    <cfRule type="top10" dxfId="1" priority="5" rank="1"/>
  </conditionalFormatting>
  <conditionalFormatting sqref="N18:N19">
    <cfRule type="top10" dxfId="0" priority="4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Oladimeji Adejumo</dc:creator>
  <cp:lastModifiedBy>Oladimeji Adejumo</cp:lastModifiedBy>
  <dcterms:created xsi:type="dcterms:W3CDTF">2026-05-04T00:49:48Z</dcterms:created>
  <dcterms:modified xsi:type="dcterms:W3CDTF">2026-05-06T00:24:57Z</dcterms:modified>
</cp:coreProperties>
</file>